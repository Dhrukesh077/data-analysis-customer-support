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Raw" sheetId="2" state="visible" r:id="rId4"/>
    <sheet name="Lookup" sheetId="3" state="visible" r:id="rId5"/>
    <sheet name="Clean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department, looked up via INDEX/MATCH on team_id against the Lookup sheet.
Same formula (relative reference) fills G2:G13. See the Notes sheet for the full explanation.</t>
        </r>
      </text>
    </comment>
    <comment ref="H2" authorId="0">
      <text>
        <r>
          <rPr>
            <sz val="10"/>
            <rFont val="Arial"/>
            <family val="2"/>
          </rPr>
          <t xml:space="preserve">breach_flag = 1 if resolution_hours &gt; 24, else 0.
Exactly 24 hours meets the SLA and is NOT a breach.
Same formula fills H2:H13.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Row count in the Raw sheet — should always read 13 (includes the duplicate).</t>
        </r>
      </text>
    </comment>
    <comment ref="B2" authorId="0">
      <text>
        <r>
          <rPr>
            <sz val="10"/>
            <rFont val="Arial"/>
            <family val="2"/>
          </rPr>
          <t xml:space="preserve">Row count in the Clean sheet — should always read 12 (duplicate removed).</t>
        </r>
      </text>
    </comment>
    <comment ref="D6" authorId="0">
      <text>
        <r>
          <rPr>
            <sz val="10"/>
            <rFont val="Arial"/>
            <family val="2"/>
          </rPr>
          <t xml:space="preserve">SLA breach rate (%) = breached tickets / total tickets x 100, rounded to 2 dp.
Calculated from underlying counts, not by averaging.</t>
        </r>
      </text>
    </comment>
    <comment ref="G6" authorId="0">
      <text>
        <r>
          <rPr>
            <sz val="10"/>
            <rFont val="Arial"/>
            <family val="2"/>
          </rPr>
          <t xml:space="preserve">Average resolution_hours by department x month.
This is a formula-table equivalent of a PivotTable (AVERAGEIFS) — see the Notes sheet for why, and how to convert it to a native PivotTable if needed.</t>
        </r>
      </text>
    </comment>
  </commentList>
</comments>
</file>

<file path=xl/sharedStrings.xml><?xml version="1.0" encoding="utf-8"?>
<sst xmlns="http://schemas.openxmlformats.org/spreadsheetml/2006/main" count="157" uniqueCount="70">
  <si>
    <t xml:space="preserve">Customer Support Quality Analysis — Workbook Guide</t>
  </si>
  <si>
    <t xml:space="preserve">Business question: Which support team should improve resolution performance, and how does service quality vary by channel?</t>
  </si>
  <si>
    <t xml:space="preserve">How this workbook is organized</t>
  </si>
  <si>
    <t xml:space="preserve">Raw</t>
  </si>
  <si>
    <t xml:space="preserve">The original 13-row tickets.csv, pasted in unchanged — including the one exact duplicate row (ticket_id 12 appears twice). Kept as-is so the before/after row count in Summary can be checked against it.</t>
  </si>
  <si>
    <t xml:space="preserve">Lookup</t>
  </si>
  <si>
    <t xml:space="preserve">The 4-row teams.csv, unchanged. Maps each team_id to its team name and department. Every lookup elsewhere in this workbook (Clean!G, Summary) reads from here — edit a value here and it flows through automatically.</t>
  </si>
  <si>
    <t xml:space="preserve">Clean</t>
  </si>
  <si>
    <t xml:space="preserve">The working dataset: the 13 Raw rows with the exact duplicate removed (12 rows remain), plus two derived columns — department (looked up from Lookup via INDEX/MATCH on team_id) and breach_flag (1 if resolution_hours &gt; 24, else 0). Every other formula in this workbook is ultimately built on this sheet.</t>
  </si>
  <si>
    <t xml:space="preserve">Summary</t>
  </si>
  <si>
    <t xml:space="preserve">Answers both business questions: a before/after row-count check, an SLA-breach-by-channel table, a department x month average-resolution table (see note below on why it's a formula table rather than a native PivotTable object), and a column chart built from that table.</t>
  </si>
  <si>
    <t xml:space="preserve">Key definitions</t>
  </si>
  <si>
    <t xml:space="preserve">• breach_flag = IF(resolution_hours &gt; 24, 1, 0). Exactly 24 hours meets the SLA — it is NOT a breach.
• SLA breach rate = breached tickets ÷ total tickets × 100, calculated from the underlying counts (never by averaging subgroup percentages).
• All rates and averages are rounded to 2 decimal places.
• month is treated as an ordered category (Jan → Feb → Mar), not alphabetical — every table and the chart preserve that order.</t>
  </si>
  <si>
    <t xml:space="preserve">Assumptions &amp; known limitations</t>
  </si>
  <si>
    <t xml:space="preserve">• INDEX/MATCH is used in Clean!G instead of XLOOKUP. Both return an identical result; INDEX/MATCH was chosen because it recalculates reliably in every Excel version back to 2007 (XLOOKUP requires Microsoft 365 or Excel 2021+).
• Summary!F5:I7 is a formula table (AVERAGEIFS), not a native Excel PivotTable object. A native PivotTable is built from a live PivotCache at open-time inside Excel and can't be authored by a script — this table returns the exact same numbers and stays fully live/editable. To convert it into a native PivotTable yourself: select Clean!A1:H13 → Insert → PivotTable → drag department to Rows, month to Columns, resolution_hours to Values (set to Average).
• Sample size is small (12 tickets total, 3 per team, 4 per channel) — treat the breach-rate rankings as directional, not statistically conclusive.</t>
  </si>
  <si>
    <t xml:space="preserve">Formula map (cell → what it does)</t>
  </si>
  <si>
    <t xml:space="preserve">Clean!G2:G13</t>
  </si>
  <si>
    <t xml:space="preserve">Department lookup: =INDEX(Lookup!$C$2:$C$5,MATCH(C2,Lookup!$A$2:$A$5,0))</t>
  </si>
  <si>
    <t xml:space="preserve">Clean!H2:H13</t>
  </si>
  <si>
    <t xml:space="preserve">SLA breach flag: =IF(E2&gt;24,1,0)</t>
  </si>
  <si>
    <t xml:space="preserve">Summary!B1</t>
  </si>
  <si>
    <t xml:space="preserve">Raw row count check: =COUNTA(Raw!A2:A14)  → 13</t>
  </si>
  <si>
    <t xml:space="preserve">Summary!B2</t>
  </si>
  <si>
    <t xml:space="preserve">Clean row count check: =COUNTA(Clean!A2:A13)  → 12</t>
  </si>
  <si>
    <t xml:space="preserve">Summary!B6:B8</t>
  </si>
  <si>
    <t xml:space="preserve">Total tickets per channel: =COUNTIF(Clean!$D$2:$D$13,A6)</t>
  </si>
  <si>
    <t xml:space="preserve">Summary!C6:C8</t>
  </si>
  <si>
    <t xml:space="preserve">Breached tickets per channel: =COUNTIFS(Clean!$D$2:$D$13,A6,Clean!$H$2:$H$13,1)</t>
  </si>
  <si>
    <t xml:space="preserve">Summary!D6:D8</t>
  </si>
  <si>
    <t xml:space="preserve">Breach rate %: =ROUND(C6/B6*100,2)</t>
  </si>
  <si>
    <t xml:space="preserve">Summary!G6:I7</t>
  </si>
  <si>
    <t xml:space="preserve">Avg resolution hours by department x month: =ROUND(AVERAGEIFS(Clean!$E$2:$E$13,Clean!$G$2:$G$13,$F6,Clean!$B$2:$B$13,G$5),2)</t>
  </si>
  <si>
    <t xml:space="preserve">Findings (from this workbook's numbers)</t>
  </si>
  <si>
    <t xml:space="preserve">• BillingHelp (T2) and AppSupport (T3) are tied for the worst SLA breach rate at 66.67% each (2 of 3 tickets breached). DeviceHelp (T4) is 33.33%, AccountCare (T1) is 0%.
• By channel: Chat is worst at 75.00% breached, Phone is 50.00%, Email is 0.00%.
• Recommendation: prioritize BillingHelp and AppSupport specifically, and investigate why Chat tickets run long — the two slowest Chat resolutions also carry the lowest satisfaction scores in the raw data.</t>
  </si>
  <si>
    <t xml:space="preserve">Source: derived entirely from the supplied tickets.csv and teams.csv. Full project (SQL / Python / Power BI / README) is in the parent repository.</t>
  </si>
  <si>
    <t xml:space="preserve">ticket_id</t>
  </si>
  <si>
    <t xml:space="preserve">month</t>
  </si>
  <si>
    <t xml:space="preserve">team_id</t>
  </si>
  <si>
    <t xml:space="preserve">channel</t>
  </si>
  <si>
    <t xml:space="preserve">resolution_hours</t>
  </si>
  <si>
    <t xml:space="preserve">satisfaction</t>
  </si>
  <si>
    <t xml:space="preserve">Jan</t>
  </si>
  <si>
    <t xml:space="preserve">T1</t>
  </si>
  <si>
    <t xml:space="preserve">Email</t>
  </si>
  <si>
    <t xml:space="preserve">T2</t>
  </si>
  <si>
    <t xml:space="preserve">Chat</t>
  </si>
  <si>
    <t xml:space="preserve">T3</t>
  </si>
  <si>
    <t xml:space="preserve">Phone</t>
  </si>
  <si>
    <t xml:space="preserve">T4</t>
  </si>
  <si>
    <t xml:space="preserve">Feb</t>
  </si>
  <si>
    <t xml:space="preserve">Mar</t>
  </si>
  <si>
    <t xml:space="preserve">team</t>
  </si>
  <si>
    <t xml:space="preserve">department</t>
  </si>
  <si>
    <t xml:space="preserve">AccountCare</t>
  </si>
  <si>
    <t xml:space="preserve">Service</t>
  </si>
  <si>
    <t xml:space="preserve">BillingHelp</t>
  </si>
  <si>
    <t xml:space="preserve">AppSupport</t>
  </si>
  <si>
    <t xml:space="preserve">Technical</t>
  </si>
  <si>
    <t xml:space="preserve">DeviceHelp</t>
  </si>
  <si>
    <t xml:space="preserve">breach_flag</t>
  </si>
  <si>
    <t xml:space="preserve">Before row count</t>
  </si>
  <si>
    <t xml:space="preserve">After row count</t>
  </si>
  <si>
    <t xml:space="preserve">SLA Breach by Channel</t>
  </si>
  <si>
    <t xml:space="preserve">Avg Resolution Hours by Department &amp; Month</t>
  </si>
  <si>
    <t xml:space="preserve">Channel</t>
  </si>
  <si>
    <t xml:space="preserve">Total Tickets</t>
  </si>
  <si>
    <t xml:space="preserve">Breached Tickets</t>
  </si>
  <si>
    <t xml:space="preserve">SLA Breach Rate %</t>
  </si>
  <si>
    <t xml:space="preserve">Department</t>
  </si>
  <si>
    <t xml:space="preserve">Note: Excel PivotTables are built at open-time from a live PivotCache and cannot be authored reliably by script. The table above (F5:I7) reproduces the exact same result (avg resolution_hours by department x month, Jan-Feb-Mar order) using AVERAGEIFS so it is fully formula-driven and verifiable. To get a native interactive PivotTable object, select Clean!A1:H13 in Excel -&gt; Insert -&gt; PivotTable, then drag department to Rows, month to Columns, resolution_hours to Values (Average).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</si>
</sst>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444444"/>
      <name val="Consolas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Resolution Hours by Department &amp;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"Service"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Summary!$G$5:$I$5</c:f>
              <c:multiLvlStrCache>
                <c:ptCount val="1"/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Summary!$G$6:$I$6</c:f>
              <c:numCache>
                <c:formatCode>0.00</c:formatCode>
                <c:ptCount val="3"/>
                <c:pt idx="0">
                  <c:v>20</c:v>
                </c:pt>
                <c:pt idx="1">
                  <c:v>19</c:v>
                </c:pt>
                <c:pt idx="2">
                  <c:v>19</c:v>
                </c:pt>
              </c:numCache>
            </c:numRef>
          </c:val>
        </c:ser>
        <c:ser>
          <c:idx val="1"/>
          <c:order val="1"/>
          <c:tx>
            <c:strRef>
              <c:f>"Technical"</c:f>
              <c:strCache>
                <c:ptCount val="1"/>
                <c:pt idx="0">
                  <c:v>Technical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Summary!$G$5:$I$5</c:f>
              <c:multiLvlStrCache>
                <c:ptCount val="1"/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Summary!$G$7:$I$7</c:f>
              <c:numCache>
                <c:formatCode>0.00</c:formatCode>
                <c:ptCount val="3"/>
                <c:pt idx="0">
                  <c:v>28</c:v>
                </c:pt>
                <c:pt idx="1">
                  <c:v>29</c:v>
                </c:pt>
                <c:pt idx="2">
                  <c:v>28</c:v>
                </c:pt>
              </c:numCache>
            </c:numRef>
          </c:val>
        </c:ser>
        <c:gapWidth val="150"/>
        <c:overlap val="0"/>
        <c:axId val="16117641"/>
        <c:axId val="46849896"/>
      </c:barChart>
      <c:catAx>
        <c:axId val="16117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49896"/>
        <c:crosses val="autoZero"/>
        <c:auto val="1"/>
        <c:lblAlgn val="ctr"/>
        <c:lblOffset val="100"/>
        <c:noMultiLvlLbl val="0"/>
      </c:catAx>
      <c:valAx>
        <c:axId val="468498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Resolution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17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0</xdr:rowOff>
    </xdr:from>
    <xdr:to>
      <xdr:col>13</xdr:col>
      <xdr:colOff>209880</xdr:colOff>
      <xdr:row>31</xdr:row>
      <xdr:rowOff>189720</xdr:rowOff>
    </xdr:to>
    <xdr:graphicFrame>
      <xdr:nvGraphicFramePr>
        <xdr:cNvPr id="0" name="Chart 1"/>
        <xdr:cNvGraphicFramePr/>
      </xdr:nvGraphicFramePr>
      <xdr:xfrm>
        <a:off x="4581360" y="285768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9.5" hidden="false" customHeight="true" outlineLevel="0" collapsed="false">
      <c r="B2" s="2" t="s">
        <v>0</v>
      </c>
    </row>
    <row r="4" customFormat="false" ht="27.75" hidden="false" customHeight="true" outlineLevel="0" collapsed="false">
      <c r="B4" s="3" t="s">
        <v>1</v>
      </c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5" t="s">
        <v>3</v>
      </c>
    </row>
    <row r="8" customFormat="false" ht="42" hidden="false" customHeight="true" outlineLevel="0" collapsed="false">
      <c r="B8" s="3" t="s">
        <v>4</v>
      </c>
    </row>
    <row r="10" customFormat="false" ht="15" hidden="false" customHeight="true" outlineLevel="0" collapsed="false">
      <c r="B10" s="5" t="s">
        <v>5</v>
      </c>
    </row>
    <row r="11" customFormat="false" ht="42" hidden="false" customHeight="true" outlineLevel="0" collapsed="false">
      <c r="B11" s="3" t="s">
        <v>6</v>
      </c>
    </row>
    <row r="13" customFormat="false" ht="15" hidden="false" customHeight="true" outlineLevel="0" collapsed="false">
      <c r="B13" s="5" t="s">
        <v>7</v>
      </c>
    </row>
    <row r="14" customFormat="false" ht="55.5" hidden="false" customHeight="true" outlineLevel="0" collapsed="false">
      <c r="B14" s="3" t="s">
        <v>8</v>
      </c>
    </row>
    <row r="16" customFormat="false" ht="15" hidden="false" customHeight="true" outlineLevel="0" collapsed="false">
      <c r="B16" s="5" t="s">
        <v>9</v>
      </c>
    </row>
    <row r="17" customFormat="false" ht="42" hidden="false" customHeight="true" outlineLevel="0" collapsed="false">
      <c r="B17" s="3" t="s">
        <v>10</v>
      </c>
    </row>
    <row r="19" customFormat="false" ht="15" hidden="false" customHeight="true" outlineLevel="0" collapsed="false">
      <c r="B19" s="4" t="s">
        <v>11</v>
      </c>
    </row>
    <row r="20" customFormat="false" ht="111.75" hidden="false" customHeight="true" outlineLevel="0" collapsed="false">
      <c r="B20" s="3" t="s">
        <v>12</v>
      </c>
    </row>
    <row r="22" customFormat="false" ht="15" hidden="false" customHeight="true" outlineLevel="0" collapsed="false">
      <c r="B22" s="4" t="s">
        <v>13</v>
      </c>
    </row>
    <row r="23" customFormat="false" ht="153.75" hidden="false" customHeight="true" outlineLevel="0" collapsed="false">
      <c r="B23" s="3" t="s">
        <v>14</v>
      </c>
    </row>
    <row r="25" customFormat="false" ht="15" hidden="false" customHeight="true" outlineLevel="0" collapsed="false">
      <c r="B25" s="4" t="s">
        <v>15</v>
      </c>
    </row>
    <row r="26" customFormat="false" ht="15" hidden="false" customHeight="true" outlineLevel="0" collapsed="false">
      <c r="B26" s="6" t="s">
        <v>16</v>
      </c>
    </row>
    <row r="27" customFormat="false" ht="15" hidden="false" customHeight="true" outlineLevel="0" collapsed="false">
      <c r="B27" s="7" t="s">
        <v>17</v>
      </c>
    </row>
    <row r="28" customFormat="false" ht="15" hidden="false" customHeight="true" outlineLevel="0" collapsed="false">
      <c r="B28" s="6" t="s">
        <v>18</v>
      </c>
    </row>
    <row r="29" customFormat="false" ht="15" hidden="false" customHeight="true" outlineLevel="0" collapsed="false">
      <c r="B29" s="7" t="s">
        <v>19</v>
      </c>
    </row>
    <row r="30" customFormat="false" ht="15" hidden="false" customHeight="true" outlineLevel="0" collapsed="false">
      <c r="B30" s="6" t="s">
        <v>20</v>
      </c>
    </row>
    <row r="31" customFormat="false" ht="15" hidden="false" customHeight="true" outlineLevel="0" collapsed="false">
      <c r="B31" s="7" t="s">
        <v>21</v>
      </c>
    </row>
    <row r="32" customFormat="false" ht="15" hidden="false" customHeight="true" outlineLevel="0" collapsed="false">
      <c r="B32" s="6" t="s">
        <v>22</v>
      </c>
    </row>
    <row r="33" customFormat="false" ht="15" hidden="false" customHeight="true" outlineLevel="0" collapsed="false">
      <c r="B33" s="7" t="s">
        <v>23</v>
      </c>
    </row>
    <row r="34" customFormat="false" ht="15" hidden="false" customHeight="true" outlineLevel="0" collapsed="false">
      <c r="B34" s="6" t="s">
        <v>24</v>
      </c>
    </row>
    <row r="35" customFormat="false" ht="15" hidden="false" customHeight="true" outlineLevel="0" collapsed="false">
      <c r="B35" s="7" t="s">
        <v>25</v>
      </c>
    </row>
    <row r="36" customFormat="false" ht="15" hidden="false" customHeight="true" outlineLevel="0" collapsed="false">
      <c r="B36" s="6" t="s">
        <v>26</v>
      </c>
    </row>
    <row r="37" customFormat="false" ht="15" hidden="false" customHeight="true" outlineLevel="0" collapsed="false">
      <c r="B37" s="7" t="s">
        <v>27</v>
      </c>
    </row>
    <row r="38" customFormat="false" ht="15" hidden="false" customHeight="true" outlineLevel="0" collapsed="false">
      <c r="B38" s="6" t="s">
        <v>28</v>
      </c>
    </row>
    <row r="39" customFormat="false" ht="15" hidden="false" customHeight="true" outlineLevel="0" collapsed="false">
      <c r="B39" s="7" t="s">
        <v>29</v>
      </c>
    </row>
    <row r="40" customFormat="false" ht="15" hidden="false" customHeight="true" outlineLevel="0" collapsed="false">
      <c r="B40" s="6" t="s">
        <v>30</v>
      </c>
    </row>
    <row r="41" customFormat="false" ht="27.75" hidden="false" customHeight="true" outlineLevel="0" collapsed="false">
      <c r="B41" s="7" t="s">
        <v>31</v>
      </c>
    </row>
    <row r="43" customFormat="false" ht="15" hidden="false" customHeight="true" outlineLevel="0" collapsed="false">
      <c r="B43" s="4" t="s">
        <v>32</v>
      </c>
    </row>
    <row r="44" customFormat="false" ht="97.5" hidden="false" customHeight="true" outlineLevel="0" collapsed="false">
      <c r="B44" s="3" t="s">
        <v>33</v>
      </c>
    </row>
    <row r="46" customFormat="false" ht="27.75" hidden="false" customHeight="true" outlineLevel="0" collapsed="false">
      <c r="B46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6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</row>
    <row r="2" customFormat="false" ht="15" hidden="false" customHeight="true" outlineLevel="0" collapsed="false">
      <c r="A2" s="10" t="n">
        <v>1</v>
      </c>
      <c r="B2" s="10" t="s">
        <v>41</v>
      </c>
      <c r="C2" s="10" t="s">
        <v>42</v>
      </c>
      <c r="D2" s="10" t="s">
        <v>43</v>
      </c>
      <c r="E2" s="10" t="n">
        <v>12</v>
      </c>
      <c r="F2" s="10" t="n">
        <v>4</v>
      </c>
    </row>
    <row r="3" customFormat="false" ht="15" hidden="false" customHeight="true" outlineLevel="0" collapsed="false">
      <c r="A3" s="10" t="n">
        <v>2</v>
      </c>
      <c r="B3" s="10" t="s">
        <v>41</v>
      </c>
      <c r="C3" s="10" t="s">
        <v>44</v>
      </c>
      <c r="D3" s="10" t="s">
        <v>45</v>
      </c>
      <c r="E3" s="10" t="n">
        <v>28</v>
      </c>
      <c r="F3" s="10" t="n">
        <v>3</v>
      </c>
    </row>
    <row r="4" customFormat="false" ht="15" hidden="false" customHeight="true" outlineLevel="0" collapsed="false">
      <c r="A4" s="10" t="n">
        <v>3</v>
      </c>
      <c r="B4" s="10" t="s">
        <v>41</v>
      </c>
      <c r="C4" s="10" t="s">
        <v>46</v>
      </c>
      <c r="D4" s="10" t="s">
        <v>47</v>
      </c>
      <c r="E4" s="10" t="n">
        <v>36</v>
      </c>
      <c r="F4" s="10" t="n">
        <v>2</v>
      </c>
    </row>
    <row r="5" customFormat="false" ht="15" hidden="false" customHeight="true" outlineLevel="0" collapsed="false">
      <c r="A5" s="10" t="n">
        <v>4</v>
      </c>
      <c r="B5" s="10" t="s">
        <v>41</v>
      </c>
      <c r="C5" s="10" t="s">
        <v>48</v>
      </c>
      <c r="D5" s="10" t="s">
        <v>43</v>
      </c>
      <c r="E5" s="10" t="n">
        <v>20</v>
      </c>
      <c r="F5" s="10" t="n">
        <v>4</v>
      </c>
    </row>
    <row r="6" customFormat="false" ht="15" hidden="false" customHeight="true" outlineLevel="0" collapsed="false">
      <c r="A6" s="10" t="n">
        <v>5</v>
      </c>
      <c r="B6" s="10" t="s">
        <v>49</v>
      </c>
      <c r="C6" s="10" t="s">
        <v>42</v>
      </c>
      <c r="D6" s="10" t="s">
        <v>45</v>
      </c>
      <c r="E6" s="10" t="n">
        <v>8</v>
      </c>
      <c r="F6" s="10" t="n">
        <v>5</v>
      </c>
    </row>
    <row r="7" customFormat="false" ht="15" hidden="false" customHeight="true" outlineLevel="0" collapsed="false">
      <c r="A7" s="10" t="n">
        <v>6</v>
      </c>
      <c r="B7" s="10" t="s">
        <v>49</v>
      </c>
      <c r="C7" s="10" t="s">
        <v>44</v>
      </c>
      <c r="D7" s="10" t="s">
        <v>47</v>
      </c>
      <c r="E7" s="10" t="n">
        <v>30</v>
      </c>
      <c r="F7" s="10" t="n">
        <v>3</v>
      </c>
    </row>
    <row r="8" customFormat="false" ht="15" hidden="false" customHeight="true" outlineLevel="0" collapsed="false">
      <c r="A8" s="10" t="n">
        <v>7</v>
      </c>
      <c r="B8" s="10" t="s">
        <v>49</v>
      </c>
      <c r="C8" s="10" t="s">
        <v>46</v>
      </c>
      <c r="D8" s="10" t="s">
        <v>43</v>
      </c>
      <c r="E8" s="10" t="n">
        <v>18</v>
      </c>
      <c r="F8" s="10" t="n">
        <v>4</v>
      </c>
    </row>
    <row r="9" customFormat="false" ht="15" hidden="false" customHeight="true" outlineLevel="0" collapsed="false">
      <c r="A9" s="10" t="n">
        <v>8</v>
      </c>
      <c r="B9" s="10" t="s">
        <v>49</v>
      </c>
      <c r="C9" s="10" t="s">
        <v>48</v>
      </c>
      <c r="D9" s="10" t="s">
        <v>45</v>
      </c>
      <c r="E9" s="10" t="n">
        <v>40</v>
      </c>
      <c r="F9" s="10" t="n">
        <v>2</v>
      </c>
    </row>
    <row r="10" customFormat="false" ht="15" hidden="false" customHeight="true" outlineLevel="0" collapsed="false">
      <c r="A10" s="10" t="n">
        <v>9</v>
      </c>
      <c r="B10" s="10" t="s">
        <v>50</v>
      </c>
      <c r="C10" s="10" t="s">
        <v>42</v>
      </c>
      <c r="D10" s="10" t="s">
        <v>47</v>
      </c>
      <c r="E10" s="10" t="n">
        <v>16</v>
      </c>
      <c r="F10" s="10" t="n">
        <v>4</v>
      </c>
    </row>
    <row r="11" customFormat="false" ht="15" hidden="false" customHeight="true" outlineLevel="0" collapsed="false">
      <c r="A11" s="10" t="n">
        <v>10</v>
      </c>
      <c r="B11" s="10" t="s">
        <v>50</v>
      </c>
      <c r="C11" s="10" t="s">
        <v>44</v>
      </c>
      <c r="D11" s="10" t="s">
        <v>43</v>
      </c>
      <c r="E11" s="10" t="n">
        <v>22</v>
      </c>
      <c r="F11" s="10" t="n">
        <v>4</v>
      </c>
    </row>
    <row r="12" customFormat="false" ht="15" hidden="false" customHeight="true" outlineLevel="0" collapsed="false">
      <c r="A12" s="10" t="n">
        <v>11</v>
      </c>
      <c r="B12" s="10" t="s">
        <v>50</v>
      </c>
      <c r="C12" s="10" t="s">
        <v>46</v>
      </c>
      <c r="D12" s="10" t="s">
        <v>45</v>
      </c>
      <c r="E12" s="10" t="n">
        <v>32</v>
      </c>
      <c r="F12" s="10" t="n">
        <v>3</v>
      </c>
    </row>
    <row r="13" customFormat="false" ht="15" hidden="false" customHeight="true" outlineLevel="0" collapsed="false">
      <c r="A13" s="10" t="n">
        <v>12</v>
      </c>
      <c r="B13" s="10" t="s">
        <v>50</v>
      </c>
      <c r="C13" s="10" t="s">
        <v>48</v>
      </c>
      <c r="D13" s="10" t="s">
        <v>47</v>
      </c>
      <c r="E13" s="10" t="n">
        <v>24</v>
      </c>
      <c r="F13" s="10" t="n">
        <v>5</v>
      </c>
    </row>
    <row r="14" customFormat="false" ht="15" hidden="false" customHeight="true" outlineLevel="0" collapsed="false">
      <c r="A14" s="11" t="n">
        <v>12</v>
      </c>
      <c r="B14" s="11" t="s">
        <v>50</v>
      </c>
      <c r="C14" s="11" t="s">
        <v>48</v>
      </c>
      <c r="D14" s="11" t="s">
        <v>47</v>
      </c>
      <c r="E14" s="11" t="n">
        <v>24</v>
      </c>
      <c r="F14" s="1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</cols>
  <sheetData>
    <row r="1" customFormat="false" ht="15" hidden="false" customHeight="true" outlineLevel="0" collapsed="false">
      <c r="A1" s="9" t="s">
        <v>37</v>
      </c>
      <c r="B1" s="9" t="s">
        <v>51</v>
      </c>
      <c r="C1" s="9" t="s">
        <v>52</v>
      </c>
    </row>
    <row r="2" customFormat="false" ht="15" hidden="false" customHeight="true" outlineLevel="0" collapsed="false">
      <c r="A2" s="10" t="s">
        <v>42</v>
      </c>
      <c r="B2" s="10" t="s">
        <v>53</v>
      </c>
      <c r="C2" s="10" t="s">
        <v>54</v>
      </c>
    </row>
    <row r="3" customFormat="false" ht="15" hidden="false" customHeight="true" outlineLevel="0" collapsed="false">
      <c r="A3" s="10" t="s">
        <v>44</v>
      </c>
      <c r="B3" s="10" t="s">
        <v>55</v>
      </c>
      <c r="C3" s="10" t="s">
        <v>54</v>
      </c>
    </row>
    <row r="4" customFormat="false" ht="15" hidden="false" customHeight="true" outlineLevel="0" collapsed="false">
      <c r="A4" s="10" t="s">
        <v>46</v>
      </c>
      <c r="B4" s="10" t="s">
        <v>56</v>
      </c>
      <c r="C4" s="10" t="s">
        <v>57</v>
      </c>
    </row>
    <row r="5" customFormat="false" ht="15" hidden="false" customHeight="true" outlineLevel="0" collapsed="false">
      <c r="A5" s="10" t="s">
        <v>48</v>
      </c>
      <c r="B5" s="10" t="s">
        <v>58</v>
      </c>
      <c r="C5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52</v>
      </c>
      <c r="H1" s="9" t="s">
        <v>59</v>
      </c>
    </row>
    <row r="2" customFormat="false" ht="15" hidden="false" customHeight="true" outlineLevel="0" collapsed="false">
      <c r="A2" s="10" t="n">
        <v>1</v>
      </c>
      <c r="B2" s="10" t="s">
        <v>41</v>
      </c>
      <c r="C2" s="10" t="s">
        <v>42</v>
      </c>
      <c r="D2" s="10" t="s">
        <v>43</v>
      </c>
      <c r="E2" s="12" t="n">
        <v>12</v>
      </c>
      <c r="F2" s="10" t="n">
        <v>4</v>
      </c>
      <c r="G2" s="10" t="str">
        <f aca="false">INDEX(Lookup!$C$2:$C$5,MATCH(C2,Lookup!$A$2:$A$5,0))</f>
        <v>Service</v>
      </c>
      <c r="H2" s="10" t="n">
        <f aca="false">IF(E2&gt;24,1,0)</f>
        <v>0</v>
      </c>
    </row>
    <row r="3" customFormat="false" ht="15" hidden="false" customHeight="true" outlineLevel="0" collapsed="false">
      <c r="A3" s="10" t="n">
        <v>2</v>
      </c>
      <c r="B3" s="10" t="s">
        <v>41</v>
      </c>
      <c r="C3" s="10" t="s">
        <v>44</v>
      </c>
      <c r="D3" s="10" t="s">
        <v>45</v>
      </c>
      <c r="E3" s="12" t="n">
        <v>28</v>
      </c>
      <c r="F3" s="10" t="n">
        <v>3</v>
      </c>
      <c r="G3" s="10" t="str">
        <f aca="false">INDEX(Lookup!$C$2:$C$5,MATCH(C3,Lookup!$A$2:$A$5,0))</f>
        <v>Service</v>
      </c>
      <c r="H3" s="10" t="n">
        <f aca="false">IF(E3&gt;24,1,0)</f>
        <v>1</v>
      </c>
    </row>
    <row r="4" customFormat="false" ht="15" hidden="false" customHeight="true" outlineLevel="0" collapsed="false">
      <c r="A4" s="10" t="n">
        <v>3</v>
      </c>
      <c r="B4" s="10" t="s">
        <v>41</v>
      </c>
      <c r="C4" s="10" t="s">
        <v>46</v>
      </c>
      <c r="D4" s="10" t="s">
        <v>47</v>
      </c>
      <c r="E4" s="12" t="n">
        <v>36</v>
      </c>
      <c r="F4" s="10" t="n">
        <v>2</v>
      </c>
      <c r="G4" s="10" t="str">
        <f aca="false">INDEX(Lookup!$C$2:$C$5,MATCH(C4,Lookup!$A$2:$A$5,0))</f>
        <v>Technical</v>
      </c>
      <c r="H4" s="10" t="n">
        <f aca="false">IF(E4&gt;24,1,0)</f>
        <v>1</v>
      </c>
    </row>
    <row r="5" customFormat="false" ht="15" hidden="false" customHeight="true" outlineLevel="0" collapsed="false">
      <c r="A5" s="10" t="n">
        <v>4</v>
      </c>
      <c r="B5" s="10" t="s">
        <v>41</v>
      </c>
      <c r="C5" s="10" t="s">
        <v>48</v>
      </c>
      <c r="D5" s="10" t="s">
        <v>43</v>
      </c>
      <c r="E5" s="12" t="n">
        <v>20</v>
      </c>
      <c r="F5" s="10" t="n">
        <v>4</v>
      </c>
      <c r="G5" s="10" t="str">
        <f aca="false">INDEX(Lookup!$C$2:$C$5,MATCH(C5,Lookup!$A$2:$A$5,0))</f>
        <v>Technical</v>
      </c>
      <c r="H5" s="10" t="n">
        <f aca="false">IF(E5&gt;24,1,0)</f>
        <v>0</v>
      </c>
    </row>
    <row r="6" customFormat="false" ht="15" hidden="false" customHeight="true" outlineLevel="0" collapsed="false">
      <c r="A6" s="10" t="n">
        <v>5</v>
      </c>
      <c r="B6" s="10" t="s">
        <v>49</v>
      </c>
      <c r="C6" s="10" t="s">
        <v>42</v>
      </c>
      <c r="D6" s="10" t="s">
        <v>45</v>
      </c>
      <c r="E6" s="12" t="n">
        <v>8</v>
      </c>
      <c r="F6" s="10" t="n">
        <v>5</v>
      </c>
      <c r="G6" s="10" t="str">
        <f aca="false">INDEX(Lookup!$C$2:$C$5,MATCH(C6,Lookup!$A$2:$A$5,0))</f>
        <v>Service</v>
      </c>
      <c r="H6" s="10" t="n">
        <f aca="false">IF(E6&gt;24,1,0)</f>
        <v>0</v>
      </c>
    </row>
    <row r="7" customFormat="false" ht="15" hidden="false" customHeight="true" outlineLevel="0" collapsed="false">
      <c r="A7" s="10" t="n">
        <v>6</v>
      </c>
      <c r="B7" s="10" t="s">
        <v>49</v>
      </c>
      <c r="C7" s="10" t="s">
        <v>44</v>
      </c>
      <c r="D7" s="10" t="s">
        <v>47</v>
      </c>
      <c r="E7" s="12" t="n">
        <v>30</v>
      </c>
      <c r="F7" s="10" t="n">
        <v>3</v>
      </c>
      <c r="G7" s="10" t="str">
        <f aca="false">INDEX(Lookup!$C$2:$C$5,MATCH(C7,Lookup!$A$2:$A$5,0))</f>
        <v>Service</v>
      </c>
      <c r="H7" s="10" t="n">
        <f aca="false">IF(E7&gt;24,1,0)</f>
        <v>1</v>
      </c>
    </row>
    <row r="8" customFormat="false" ht="15" hidden="false" customHeight="true" outlineLevel="0" collapsed="false">
      <c r="A8" s="10" t="n">
        <v>7</v>
      </c>
      <c r="B8" s="10" t="s">
        <v>49</v>
      </c>
      <c r="C8" s="10" t="s">
        <v>46</v>
      </c>
      <c r="D8" s="10" t="s">
        <v>43</v>
      </c>
      <c r="E8" s="12" t="n">
        <v>18</v>
      </c>
      <c r="F8" s="10" t="n">
        <v>4</v>
      </c>
      <c r="G8" s="10" t="str">
        <f aca="false">INDEX(Lookup!$C$2:$C$5,MATCH(C8,Lookup!$A$2:$A$5,0))</f>
        <v>Technical</v>
      </c>
      <c r="H8" s="10" t="n">
        <f aca="false">IF(E8&gt;24,1,0)</f>
        <v>0</v>
      </c>
    </row>
    <row r="9" customFormat="false" ht="15" hidden="false" customHeight="true" outlineLevel="0" collapsed="false">
      <c r="A9" s="10" t="n">
        <v>8</v>
      </c>
      <c r="B9" s="10" t="s">
        <v>49</v>
      </c>
      <c r="C9" s="10" t="s">
        <v>48</v>
      </c>
      <c r="D9" s="10" t="s">
        <v>45</v>
      </c>
      <c r="E9" s="12" t="n">
        <v>40</v>
      </c>
      <c r="F9" s="10" t="n">
        <v>2</v>
      </c>
      <c r="G9" s="10" t="str">
        <f aca="false">INDEX(Lookup!$C$2:$C$5,MATCH(C9,Lookup!$A$2:$A$5,0))</f>
        <v>Technical</v>
      </c>
      <c r="H9" s="10" t="n">
        <f aca="false">IF(E9&gt;24,1,0)</f>
        <v>1</v>
      </c>
    </row>
    <row r="10" customFormat="false" ht="15" hidden="false" customHeight="true" outlineLevel="0" collapsed="false">
      <c r="A10" s="10" t="n">
        <v>9</v>
      </c>
      <c r="B10" s="10" t="s">
        <v>50</v>
      </c>
      <c r="C10" s="10" t="s">
        <v>42</v>
      </c>
      <c r="D10" s="10" t="s">
        <v>47</v>
      </c>
      <c r="E10" s="12" t="n">
        <v>16</v>
      </c>
      <c r="F10" s="10" t="n">
        <v>4</v>
      </c>
      <c r="G10" s="10" t="str">
        <f aca="false">INDEX(Lookup!$C$2:$C$5,MATCH(C10,Lookup!$A$2:$A$5,0))</f>
        <v>Service</v>
      </c>
      <c r="H10" s="10" t="n">
        <f aca="false">IF(E10&gt;24,1,0)</f>
        <v>0</v>
      </c>
    </row>
    <row r="11" customFormat="false" ht="15" hidden="false" customHeight="true" outlineLevel="0" collapsed="false">
      <c r="A11" s="10" t="n">
        <v>10</v>
      </c>
      <c r="B11" s="10" t="s">
        <v>50</v>
      </c>
      <c r="C11" s="10" t="s">
        <v>44</v>
      </c>
      <c r="D11" s="10" t="s">
        <v>43</v>
      </c>
      <c r="E11" s="12" t="n">
        <v>22</v>
      </c>
      <c r="F11" s="10" t="n">
        <v>4</v>
      </c>
      <c r="G11" s="10" t="str">
        <f aca="false">INDEX(Lookup!$C$2:$C$5,MATCH(C11,Lookup!$A$2:$A$5,0))</f>
        <v>Service</v>
      </c>
      <c r="H11" s="10" t="n">
        <f aca="false">IF(E11&gt;24,1,0)</f>
        <v>0</v>
      </c>
    </row>
    <row r="12" customFormat="false" ht="15" hidden="false" customHeight="true" outlineLevel="0" collapsed="false">
      <c r="A12" s="10" t="n">
        <v>11</v>
      </c>
      <c r="B12" s="10" t="s">
        <v>50</v>
      </c>
      <c r="C12" s="10" t="s">
        <v>46</v>
      </c>
      <c r="D12" s="10" t="s">
        <v>45</v>
      </c>
      <c r="E12" s="12" t="n">
        <v>32</v>
      </c>
      <c r="F12" s="10" t="n">
        <v>3</v>
      </c>
      <c r="G12" s="10" t="str">
        <f aca="false">INDEX(Lookup!$C$2:$C$5,MATCH(C12,Lookup!$A$2:$A$5,0))</f>
        <v>Technical</v>
      </c>
      <c r="H12" s="10" t="n">
        <f aca="false">IF(E12&gt;24,1,0)</f>
        <v>1</v>
      </c>
    </row>
    <row r="13" customFormat="false" ht="15" hidden="false" customHeight="true" outlineLevel="0" collapsed="false">
      <c r="A13" s="10" t="n">
        <v>12</v>
      </c>
      <c r="B13" s="10" t="s">
        <v>50</v>
      </c>
      <c r="C13" s="10" t="s">
        <v>48</v>
      </c>
      <c r="D13" s="10" t="s">
        <v>47</v>
      </c>
      <c r="E13" s="12" t="n">
        <v>24</v>
      </c>
      <c r="F13" s="10" t="n">
        <v>5</v>
      </c>
      <c r="G13" s="10" t="str">
        <f aca="false">INDEX(Lookup!$C$2:$C$5,MATCH(C13,Lookup!$A$2:$A$5,0))</f>
        <v>Technical</v>
      </c>
      <c r="H13" s="10" t="n">
        <f aca="false">IF(E13&gt;24,1,0)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"/>
    <col collapsed="false" customWidth="true" hidden="false" outlineLevel="0" max="6" min="6" style="1" width="14"/>
    <col collapsed="false" customWidth="true" hidden="false" outlineLevel="0" max="9" min="7" style="1" width="10"/>
  </cols>
  <sheetData>
    <row r="1" customFormat="false" ht="15" hidden="false" customHeight="true" outlineLevel="0" collapsed="false">
      <c r="A1" s="13" t="s">
        <v>60</v>
      </c>
      <c r="B1" s="14" t="n">
        <f aca="false">COUNTA(Raw!A2:A14)</f>
        <v>13</v>
      </c>
      <c r="C1" s="14"/>
      <c r="D1" s="14"/>
      <c r="E1" s="14"/>
      <c r="F1" s="14"/>
      <c r="G1" s="14"/>
    </row>
    <row r="2" customFormat="false" ht="15" hidden="false" customHeight="true" outlineLevel="0" collapsed="false">
      <c r="A2" s="13" t="s">
        <v>61</v>
      </c>
      <c r="B2" s="14" t="n">
        <f aca="false">COUNTA(Clean!A2:A13)</f>
        <v>12</v>
      </c>
      <c r="C2" s="14"/>
      <c r="D2" s="14"/>
      <c r="E2" s="14"/>
      <c r="F2" s="14"/>
      <c r="G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</row>
    <row r="4" customFormat="false" ht="15" hidden="false" customHeight="true" outlineLevel="0" collapsed="false">
      <c r="A4" s="15" t="s">
        <v>62</v>
      </c>
      <c r="B4" s="14"/>
      <c r="C4" s="14"/>
      <c r="D4" s="14"/>
      <c r="E4" s="14"/>
      <c r="F4" s="15" t="s">
        <v>63</v>
      </c>
      <c r="G4" s="14"/>
    </row>
    <row r="5" customFormat="false" ht="15" hidden="false" customHeight="true" outlineLevel="0" collapsed="false">
      <c r="A5" s="9" t="s">
        <v>64</v>
      </c>
      <c r="B5" s="9" t="s">
        <v>65</v>
      </c>
      <c r="C5" s="9" t="s">
        <v>66</v>
      </c>
      <c r="D5" s="9" t="s">
        <v>67</v>
      </c>
      <c r="E5" s="14"/>
      <c r="F5" s="9" t="s">
        <v>68</v>
      </c>
      <c r="G5" s="9" t="s">
        <v>41</v>
      </c>
      <c r="H5" s="9" t="s">
        <v>49</v>
      </c>
      <c r="I5" s="9" t="s">
        <v>50</v>
      </c>
    </row>
    <row r="6" customFormat="false" ht="15" hidden="false" customHeight="true" outlineLevel="0" collapsed="false">
      <c r="A6" s="10" t="s">
        <v>43</v>
      </c>
      <c r="B6" s="10" t="n">
        <f aca="false">COUNTIF(Clean!$D$2:$D$13,A6)</f>
        <v>4</v>
      </c>
      <c r="C6" s="10" t="n">
        <f aca="false">COUNTIFS(Clean!$D$2:$D$13,A6,Clean!$H$2:$H$13,1)</f>
        <v>0</v>
      </c>
      <c r="D6" s="12" t="n">
        <f aca="false">ROUND(C6/B6*100,2)</f>
        <v>0</v>
      </c>
      <c r="E6" s="14"/>
      <c r="F6" s="10" t="s">
        <v>54</v>
      </c>
      <c r="G6" s="12" t="n">
        <f aca="false">ROUND(AVERAGEIFS(Clean!$E$2:$E$13,Clean!$G$2:$G$13,$F6,Clean!$B$2:$B$13,G$5),2)</f>
        <v>20</v>
      </c>
      <c r="H6" s="12" t="n">
        <f aca="false">ROUND(AVERAGEIFS(Clean!$E$2:$E$13,Clean!$G$2:$G$13,$F6,Clean!$B$2:$B$13,H$5),2)</f>
        <v>19</v>
      </c>
      <c r="I6" s="12" t="n">
        <f aca="false">ROUND(AVERAGEIFS(Clean!$E$2:$E$13,Clean!$G$2:$G$13,$F6,Clean!$B$2:$B$13,I$5),2)</f>
        <v>19</v>
      </c>
    </row>
    <row r="7" customFormat="false" ht="15" hidden="false" customHeight="true" outlineLevel="0" collapsed="false">
      <c r="A7" s="10" t="s">
        <v>45</v>
      </c>
      <c r="B7" s="10" t="n">
        <f aca="false">COUNTIF(Clean!$D$2:$D$13,A7)</f>
        <v>4</v>
      </c>
      <c r="C7" s="10" t="n">
        <f aca="false">COUNTIFS(Clean!$D$2:$D$13,A7,Clean!$H$2:$H$13,1)</f>
        <v>3</v>
      </c>
      <c r="D7" s="12" t="n">
        <f aca="false">ROUND(C7/B7*100,2)</f>
        <v>75</v>
      </c>
      <c r="E7" s="14"/>
      <c r="F7" s="10" t="s">
        <v>57</v>
      </c>
      <c r="G7" s="12" t="n">
        <f aca="false">ROUND(AVERAGEIFS(Clean!$E$2:$E$13,Clean!$G$2:$G$13,$F7,Clean!$B$2:$B$13,G$5),2)</f>
        <v>28</v>
      </c>
      <c r="H7" s="12" t="n">
        <f aca="false">ROUND(AVERAGEIFS(Clean!$E$2:$E$13,Clean!$G$2:$G$13,$F7,Clean!$B$2:$B$13,H$5),2)</f>
        <v>29</v>
      </c>
      <c r="I7" s="12" t="n">
        <f aca="false">ROUND(AVERAGEIFS(Clean!$E$2:$E$13,Clean!$G$2:$G$13,$F7,Clean!$B$2:$B$13,I$5),2)</f>
        <v>28</v>
      </c>
    </row>
    <row r="8" customFormat="false" ht="15" hidden="false" customHeight="true" outlineLevel="0" collapsed="false">
      <c r="A8" s="10" t="s">
        <v>47</v>
      </c>
      <c r="B8" s="10" t="n">
        <f aca="false">COUNTIF(Clean!$D$2:$D$13,A8)</f>
        <v>4</v>
      </c>
      <c r="C8" s="10" t="n">
        <f aca="false">COUNTIFS(Clean!$D$2:$D$13,A8,Clean!$H$2:$H$13,1)</f>
        <v>2</v>
      </c>
      <c r="D8" s="12" t="n">
        <f aca="false">ROUND(C8/B8*100,2)</f>
        <v>50</v>
      </c>
      <c r="E8" s="16"/>
      <c r="F8" s="14"/>
      <c r="G8" s="14"/>
    </row>
    <row r="9" customFormat="false" ht="15" hidden="false" customHeight="true" outlineLevel="0" collapsed="false">
      <c r="F9" s="17" t="s">
        <v>69</v>
      </c>
      <c r="G9" s="17"/>
      <c r="H9" s="17"/>
      <c r="I9" s="17"/>
    </row>
    <row r="10" customFormat="false" ht="15" hidden="false" customHeight="true" outlineLevel="0" collapsed="false">
      <c r="F10" s="17"/>
      <c r="G10" s="17"/>
      <c r="H10" s="17"/>
      <c r="I10" s="17"/>
    </row>
    <row r="11" customFormat="false" ht="15" hidden="false" customHeight="true" outlineLevel="0" collapsed="false">
      <c r="F11" s="17"/>
      <c r="G11" s="17"/>
      <c r="H11" s="17"/>
      <c r="I11" s="17"/>
    </row>
    <row r="12" customFormat="false" ht="15" hidden="false" customHeight="true" outlineLevel="0" collapsed="false">
      <c r="F12" s="17"/>
      <c r="G12" s="17"/>
      <c r="H12" s="17"/>
      <c r="I12" s="17"/>
    </row>
    <row r="13" customFormat="false" ht="15" hidden="false" customHeight="true" outlineLevel="0" collapsed="false">
      <c r="F13" s="17"/>
      <c r="G13" s="17"/>
      <c r="H13" s="17"/>
      <c r="I13" s="17"/>
    </row>
  </sheetData>
  <mergeCells count="1">
    <mergeCell ref="F9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2026-09-26T05:45:13Z</dcterms:created>
  <dc:creator>openpyxl</dc:creator>
  <dc:description/>
  <dc:language>en-US</dc:language>
  <cp:lastModifiedBy/>
  <dcterms:modified xsi:type="dcterms:W3CDTF">2026-09-26T07:01:06Z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